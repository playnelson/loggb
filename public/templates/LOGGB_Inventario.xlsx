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ris\Downloads\"/>
    </mc:Choice>
  </mc:AlternateContent>
  <xr:revisionPtr revIDLastSave="0" documentId="13_ncr:1_{E81D7F2F-834D-4858-9EB6-B4153B09615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ventário" sheetId="1" r:id="rId1"/>
    <sheet name="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2" l="1"/>
  <c r="E9" i="2"/>
  <c r="F8" i="2"/>
  <c r="E8" i="2"/>
  <c r="E7" i="2"/>
  <c r="F6" i="2"/>
  <c r="E6" i="2"/>
  <c r="F10" i="2" s="1"/>
  <c r="E5" i="2"/>
  <c r="E4" i="2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F4" i="2" l="1"/>
  <c r="F5" i="2"/>
  <c r="F7" i="2"/>
  <c r="F9" i="2"/>
</calcChain>
</file>

<file path=xl/sharedStrings.xml><?xml version="1.0" encoding="utf-8"?>
<sst xmlns="http://schemas.openxmlformats.org/spreadsheetml/2006/main" count="61" uniqueCount="39">
  <si>
    <t>346 SKUs cadastrados  ·  Atualizado em maio/2026</t>
  </si>
  <si>
    <t>DESCRIÇÃO DO MATERIAL</t>
  </si>
  <si>
    <t>ESTOQUE</t>
  </si>
  <si>
    <t>EM POSSE</t>
  </si>
  <si>
    <t>TOTAL</t>
  </si>
  <si>
    <t>CATEGORIA</t>
  </si>
  <si>
    <t>ACENDEDOR P/ SOLDADOR - WWSOLDAS</t>
  </si>
  <si>
    <t>MANUTENÇÃO</t>
  </si>
  <si>
    <t>AGUA SANITARIA 5L - MARISTER</t>
  </si>
  <si>
    <t>LIMPEZA</t>
  </si>
  <si>
    <t>AGULHEIRO PARA SOLDADOR - CARBOGRAFITE</t>
  </si>
  <si>
    <t>EQUIPAMENTO</t>
  </si>
  <si>
    <t>ALAVANCA VERGALHÃO - PONTEIRO/TALHADEIRA</t>
  </si>
  <si>
    <t>FERRAMENTA</t>
  </si>
  <si>
    <t>ALCOOL 70° 1L</t>
  </si>
  <si>
    <t>ALICATE UNIVERSAL GEDORE 8" - R28301200</t>
  </si>
  <si>
    <t>APLICADOR SILICONE - TRAMONTINA</t>
  </si>
  <si>
    <t>AR CONDICIONADO AGRATTO 12.000 BTU</t>
  </si>
  <si>
    <t>MOBILIÁRIO</t>
  </si>
  <si>
    <t>BALDE PLÁSTICO 20L</t>
  </si>
  <si>
    <t>CAPACETE DE SEGURANÇA CLASSE A - BRANCO</t>
  </si>
  <si>
    <t>EPI</t>
  </si>
  <si>
    <t>CHAVE DE FENDA 6" - STANLEY</t>
  </si>
  <si>
    <t>CINTO DE SEGURANÇA TIPO PARAQUEDISTA</t>
  </si>
  <si>
    <t>COLA EPÓXI BICOMPONENTE - ARALDITE</t>
  </si>
  <si>
    <t>COMPRESSOR DE AR 50L - SCHULZ</t>
  </si>
  <si>
    <t>DISCO DE CORTE 4.1/2" X 1.0 - NORTON</t>
  </si>
  <si>
    <t>ESMERILHADEIRA ANGULAR 4.1/2" - BOSCH</t>
  </si>
  <si>
    <t>EXTENSÃO ELÉTRICA 10M - 10A</t>
  </si>
  <si>
    <t>ELÉTRICO</t>
  </si>
  <si>
    <t>FITA ISOLANTE 19MM X 20M - 3M</t>
  </si>
  <si>
    <t>LUVA DE RASPA PALMA REFORÇADA</t>
  </si>
  <si>
    <t>MARTELO CARPINTEIRO 27MM - TRAMONTINA</t>
  </si>
  <si>
    <t>ITENS</t>
  </si>
  <si>
    <t>TOTAL ESTOQUE</t>
  </si>
  <si>
    <t>TOTAL GERAL</t>
  </si>
  <si>
    <t>% DO TOTAL</t>
  </si>
  <si>
    <t>ALMOXARIFADO  –  Controle de Inventário</t>
  </si>
  <si>
    <t>Dashboard por 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</si>
</sst>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888899"/>
      <name val="Arial"/>
      <charset val="1"/>
    </font>
    <font>
      <b/>
      <sz val="9"/>
      <color rgb="FFFFFFFF"/>
      <name val="Arial"/>
      <charset val="1"/>
    </font>
    <font>
      <b/>
      <sz val="9"/>
      <color rgb="FF1C1C2E"/>
      <name val="Arial"/>
      <charset val="1"/>
    </font>
    <font>
      <b/>
      <sz val="10"/>
      <color rgb="FF1C1C2E"/>
      <name val="Arial"/>
      <charset val="1"/>
    </font>
    <font>
      <sz val="9"/>
      <color rgb="FF444466"/>
      <name val="Arial"/>
      <charset val="1"/>
    </font>
    <font>
      <b/>
      <sz val="8"/>
      <color rgb="FFE07B00"/>
      <name val="Arial"/>
      <charset val="1"/>
    </font>
    <font>
      <b/>
      <sz val="8"/>
      <color rgb="FF2563EB"/>
      <name val="Arial"/>
      <charset val="1"/>
    </font>
    <font>
      <b/>
      <sz val="8"/>
      <color rgb="FF7C3AED"/>
      <name val="Arial"/>
      <charset val="1"/>
    </font>
    <font>
      <b/>
      <sz val="8"/>
      <color rgb="FF059669"/>
      <name val="Arial"/>
      <charset val="1"/>
    </font>
    <font>
      <b/>
      <sz val="8"/>
      <color rgb="FFDC2626"/>
      <name val="Arial"/>
      <charset val="1"/>
    </font>
    <font>
      <b/>
      <sz val="9"/>
      <color rgb="FF059669"/>
      <name val="Arial"/>
      <charset val="1"/>
    </font>
    <font>
      <sz val="9"/>
      <color rgb="FF1C1C2E"/>
      <name val="Arial"/>
      <charset val="1"/>
    </font>
    <font>
      <b/>
      <sz val="9"/>
      <color rgb="FFDC2626"/>
      <name val="Arial"/>
      <charset val="1"/>
    </font>
    <font>
      <b/>
      <sz val="9"/>
      <color rgb="FF2563EB"/>
      <name val="Arial"/>
      <charset val="1"/>
    </font>
    <font>
      <b/>
      <sz val="9"/>
      <color rgb="FFE07B00"/>
      <name val="Arial"/>
      <charset val="1"/>
    </font>
    <font>
      <b/>
      <sz val="9"/>
      <color rgb="FF7C3AED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C1C2E"/>
        <bgColor rgb="FF25253A"/>
      </patternFill>
    </fill>
    <fill>
      <patternFill patternType="solid">
        <fgColor rgb="FF25253A"/>
        <bgColor rgb="FF1C1C2E"/>
      </patternFill>
    </fill>
    <fill>
      <patternFill patternType="solid">
        <fgColor rgb="FF9CA3AF"/>
        <bgColor rgb="FF888899"/>
      </patternFill>
    </fill>
    <fill>
      <patternFill patternType="solid">
        <fgColor rgb="FFFFFFFF"/>
        <bgColor rgb="FFF8F8FC"/>
      </patternFill>
    </fill>
    <fill>
      <patternFill patternType="solid">
        <fgColor rgb="FFF8F8FC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9CA3AF"/>
      </bottom>
      <diagonal/>
    </border>
    <border>
      <left/>
      <right/>
      <top/>
      <bottom style="thin">
        <color rgb="FFE8E8F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0" xfId="0" applyFont="1" applyFill="1" applyAlignment="1">
      <alignment horizontal="left" vertical="center" indent="2"/>
    </xf>
    <xf numFmtId="0" fontId="1" fillId="2" borderId="0" xfId="0" applyFont="1" applyFill="1" applyAlignment="1">
      <alignment horizontal="left" vertical="center" indent="2"/>
    </xf>
    <xf numFmtId="0" fontId="0" fillId="4" borderId="0" xfId="0" applyFill="1"/>
    <xf numFmtId="0" fontId="3" fillId="2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 indent="1"/>
    </xf>
    <xf numFmtId="0" fontId="13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left" vertical="center" indent="1"/>
    </xf>
    <xf numFmtId="0" fontId="13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left" vertical="center" indent="1"/>
    </xf>
    <xf numFmtId="0" fontId="15" fillId="5" borderId="2" xfId="0" applyFont="1" applyFill="1" applyBorder="1" applyAlignment="1">
      <alignment horizontal="left" vertical="center" indent="1"/>
    </xf>
    <xf numFmtId="0" fontId="16" fillId="6" borderId="2" xfId="0" applyFont="1" applyFill="1" applyBorder="1" applyAlignment="1">
      <alignment horizontal="left" vertical="center" indent="1"/>
    </xf>
    <xf numFmtId="0" fontId="16" fillId="5" borderId="2" xfId="0" applyFont="1" applyFill="1" applyBorder="1" applyAlignment="1">
      <alignment horizontal="left" vertical="center" indent="1"/>
    </xf>
    <xf numFmtId="0" fontId="17" fillId="6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88899"/>
      <rgbColor rgb="FF9999FF"/>
      <rgbColor rgb="FF993366"/>
      <rgbColor rgb="FFF8F8FC"/>
      <rgbColor rgb="FFE8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E07B00"/>
      <rgbColor rgb="FF7C3AED"/>
      <rgbColor rgb="FF9CA3AF"/>
      <rgbColor rgb="FF003366"/>
      <rgbColor rgb="FF339966"/>
      <rgbColor rgb="FF003300"/>
      <rgbColor rgb="FF1C1C2E"/>
      <rgbColor rgb="FF993300"/>
      <rgbColor rgb="FF993366"/>
      <rgbColor rgb="FF444466"/>
      <rgbColor rgb="FF2525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showGridLines="0" tabSelected="1" zoomScaleNormal="100" workbookViewId="0">
      <pane ySplit="4" topLeftCell="A5" activePane="bottomLeft" state="frozen"/>
      <selection pane="bottomLeft" activeCell="I22" sqref="I22"/>
    </sheetView>
  </sheetViews>
  <sheetFormatPr defaultColWidth="8.7109375" defaultRowHeight="15" x14ac:dyDescent="0.25"/>
  <cols>
    <col min="1" max="1" width="52" customWidth="1"/>
    <col min="2" max="4" width="10" customWidth="1"/>
    <col min="5" max="5" width="16" customWidth="1"/>
  </cols>
  <sheetData>
    <row r="1" spans="1:5" ht="39.75" customHeight="1" x14ac:dyDescent="0.25">
      <c r="A1" s="2" t="s">
        <v>37</v>
      </c>
      <c r="B1" s="2"/>
      <c r="C1" s="2"/>
      <c r="D1" s="2"/>
      <c r="E1" s="2"/>
    </row>
    <row r="2" spans="1:5" ht="21.75" customHeight="1" x14ac:dyDescent="0.25">
      <c r="A2" s="1" t="s">
        <v>0</v>
      </c>
      <c r="B2" s="1"/>
      <c r="C2" s="1"/>
      <c r="D2" s="1"/>
      <c r="E2" s="1"/>
    </row>
    <row r="3" spans="1:5" ht="4.5" customHeight="1" x14ac:dyDescent="0.25">
      <c r="A3" s="3"/>
      <c r="B3" s="3"/>
      <c r="C3" s="3"/>
      <c r="D3" s="3"/>
      <c r="E3" s="3"/>
    </row>
    <row r="4" spans="1:5" ht="30" customHeight="1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</row>
    <row r="5" spans="1:5" ht="24" customHeight="1" x14ac:dyDescent="0.25">
      <c r="A5" s="5" t="s">
        <v>6</v>
      </c>
      <c r="B5" s="6">
        <v>4</v>
      </c>
      <c r="C5" s="7">
        <v>1</v>
      </c>
      <c r="D5" s="6">
        <f t="shared" ref="D5:D24" si="0">B5+C5</f>
        <v>5</v>
      </c>
      <c r="E5" s="8" t="s">
        <v>7</v>
      </c>
    </row>
    <row r="6" spans="1:5" ht="24" customHeight="1" x14ac:dyDescent="0.25">
      <c r="A6" s="9" t="s">
        <v>8</v>
      </c>
      <c r="B6" s="10">
        <v>1</v>
      </c>
      <c r="C6" s="11">
        <v>0</v>
      </c>
      <c r="D6" s="10">
        <f t="shared" si="0"/>
        <v>1</v>
      </c>
      <c r="E6" s="12" t="s">
        <v>9</v>
      </c>
    </row>
    <row r="7" spans="1:5" ht="24" customHeight="1" x14ac:dyDescent="0.25">
      <c r="A7" s="5" t="s">
        <v>10</v>
      </c>
      <c r="B7" s="6">
        <v>8</v>
      </c>
      <c r="C7" s="7">
        <v>0</v>
      </c>
      <c r="D7" s="6">
        <f t="shared" si="0"/>
        <v>8</v>
      </c>
      <c r="E7" s="13" t="s">
        <v>11</v>
      </c>
    </row>
    <row r="8" spans="1:5" ht="24" customHeight="1" x14ac:dyDescent="0.25">
      <c r="A8" s="9" t="s">
        <v>12</v>
      </c>
      <c r="B8" s="10">
        <v>1</v>
      </c>
      <c r="C8" s="11">
        <v>2</v>
      </c>
      <c r="D8" s="10">
        <f t="shared" si="0"/>
        <v>3</v>
      </c>
      <c r="E8" s="14" t="s">
        <v>13</v>
      </c>
    </row>
    <row r="9" spans="1:5" ht="24" customHeight="1" x14ac:dyDescent="0.25">
      <c r="A9" s="5" t="s">
        <v>14</v>
      </c>
      <c r="B9" s="6">
        <v>12</v>
      </c>
      <c r="C9" s="7">
        <v>0</v>
      </c>
      <c r="D9" s="6">
        <f t="shared" si="0"/>
        <v>12</v>
      </c>
      <c r="E9" s="8" t="s">
        <v>9</v>
      </c>
    </row>
    <row r="10" spans="1:5" ht="24" customHeight="1" x14ac:dyDescent="0.25">
      <c r="A10" s="9" t="s">
        <v>15</v>
      </c>
      <c r="B10" s="10">
        <v>7</v>
      </c>
      <c r="C10" s="11">
        <v>2</v>
      </c>
      <c r="D10" s="10">
        <f t="shared" si="0"/>
        <v>9</v>
      </c>
      <c r="E10" s="14" t="s">
        <v>13</v>
      </c>
    </row>
    <row r="11" spans="1:5" ht="24" customHeight="1" x14ac:dyDescent="0.25">
      <c r="A11" s="5" t="s">
        <v>16</v>
      </c>
      <c r="B11" s="6">
        <v>1</v>
      </c>
      <c r="C11" s="7">
        <v>0</v>
      </c>
      <c r="D11" s="6">
        <f t="shared" si="0"/>
        <v>1</v>
      </c>
      <c r="E11" s="13" t="s">
        <v>13</v>
      </c>
    </row>
    <row r="12" spans="1:5" ht="24" customHeight="1" x14ac:dyDescent="0.25">
      <c r="A12" s="9" t="s">
        <v>17</v>
      </c>
      <c r="B12" s="10">
        <v>3</v>
      </c>
      <c r="C12" s="11">
        <v>0</v>
      </c>
      <c r="D12" s="10">
        <f t="shared" si="0"/>
        <v>3</v>
      </c>
      <c r="E12" s="15" t="s">
        <v>18</v>
      </c>
    </row>
    <row r="13" spans="1:5" ht="24" customHeight="1" x14ac:dyDescent="0.25">
      <c r="A13" s="5" t="s">
        <v>19</v>
      </c>
      <c r="B13" s="6">
        <v>5</v>
      </c>
      <c r="C13" s="7">
        <v>1</v>
      </c>
      <c r="D13" s="6">
        <f t="shared" si="0"/>
        <v>6</v>
      </c>
      <c r="E13" s="8" t="s">
        <v>9</v>
      </c>
    </row>
    <row r="14" spans="1:5" ht="24" customHeight="1" x14ac:dyDescent="0.25">
      <c r="A14" s="9" t="s">
        <v>20</v>
      </c>
      <c r="B14" s="10">
        <v>10</v>
      </c>
      <c r="C14" s="11">
        <v>3</v>
      </c>
      <c r="D14" s="10">
        <f t="shared" si="0"/>
        <v>13</v>
      </c>
      <c r="E14" s="16" t="s">
        <v>21</v>
      </c>
    </row>
    <row r="15" spans="1:5" ht="24" customHeight="1" x14ac:dyDescent="0.25">
      <c r="A15" s="5" t="s">
        <v>22</v>
      </c>
      <c r="B15" s="6">
        <v>6</v>
      </c>
      <c r="C15" s="7">
        <v>1</v>
      </c>
      <c r="D15" s="6">
        <f t="shared" si="0"/>
        <v>7</v>
      </c>
      <c r="E15" s="13" t="s">
        <v>13</v>
      </c>
    </row>
    <row r="16" spans="1:5" ht="24" customHeight="1" x14ac:dyDescent="0.25">
      <c r="A16" s="9" t="s">
        <v>23</v>
      </c>
      <c r="B16" s="10">
        <v>4</v>
      </c>
      <c r="C16" s="11">
        <v>2</v>
      </c>
      <c r="D16" s="10">
        <f t="shared" si="0"/>
        <v>6</v>
      </c>
      <c r="E16" s="16" t="s">
        <v>21</v>
      </c>
    </row>
    <row r="17" spans="1:5" ht="24" customHeight="1" x14ac:dyDescent="0.25">
      <c r="A17" s="5" t="s">
        <v>24</v>
      </c>
      <c r="B17" s="6">
        <v>8</v>
      </c>
      <c r="C17" s="7">
        <v>0</v>
      </c>
      <c r="D17" s="6">
        <f t="shared" si="0"/>
        <v>8</v>
      </c>
      <c r="E17" s="8" t="s">
        <v>7</v>
      </c>
    </row>
    <row r="18" spans="1:5" ht="24" customHeight="1" x14ac:dyDescent="0.25">
      <c r="A18" s="9" t="s">
        <v>25</v>
      </c>
      <c r="B18" s="10">
        <v>1</v>
      </c>
      <c r="C18" s="11">
        <v>0</v>
      </c>
      <c r="D18" s="10">
        <f t="shared" si="0"/>
        <v>1</v>
      </c>
      <c r="E18" s="14" t="s">
        <v>11</v>
      </c>
    </row>
    <row r="19" spans="1:5" ht="24" customHeight="1" x14ac:dyDescent="0.25">
      <c r="A19" s="5" t="s">
        <v>26</v>
      </c>
      <c r="B19" s="6">
        <v>30</v>
      </c>
      <c r="C19" s="7">
        <v>0</v>
      </c>
      <c r="D19" s="6">
        <f t="shared" si="0"/>
        <v>30</v>
      </c>
      <c r="E19" s="8" t="s">
        <v>7</v>
      </c>
    </row>
    <row r="20" spans="1:5" ht="24" customHeight="1" x14ac:dyDescent="0.25">
      <c r="A20" s="9" t="s">
        <v>27</v>
      </c>
      <c r="B20" s="10">
        <v>2</v>
      </c>
      <c r="C20" s="11">
        <v>1</v>
      </c>
      <c r="D20" s="10">
        <f t="shared" si="0"/>
        <v>3</v>
      </c>
      <c r="E20" s="14" t="s">
        <v>11</v>
      </c>
    </row>
    <row r="21" spans="1:5" ht="24" customHeight="1" x14ac:dyDescent="0.25">
      <c r="A21" s="5" t="s">
        <v>28</v>
      </c>
      <c r="B21" s="6">
        <v>5</v>
      </c>
      <c r="C21" s="7">
        <v>2</v>
      </c>
      <c r="D21" s="6">
        <f t="shared" si="0"/>
        <v>7</v>
      </c>
      <c r="E21" s="17" t="s">
        <v>29</v>
      </c>
    </row>
    <row r="22" spans="1:5" ht="24" customHeight="1" x14ac:dyDescent="0.25">
      <c r="A22" s="9" t="s">
        <v>30</v>
      </c>
      <c r="B22" s="10">
        <v>15</v>
      </c>
      <c r="C22" s="11">
        <v>0</v>
      </c>
      <c r="D22" s="10">
        <f t="shared" si="0"/>
        <v>15</v>
      </c>
      <c r="E22" s="18" t="s">
        <v>29</v>
      </c>
    </row>
    <row r="23" spans="1:5" ht="24" customHeight="1" x14ac:dyDescent="0.25">
      <c r="A23" s="5" t="s">
        <v>31</v>
      </c>
      <c r="B23" s="6">
        <v>20</v>
      </c>
      <c r="C23" s="7">
        <v>5</v>
      </c>
      <c r="D23" s="6">
        <f t="shared" si="0"/>
        <v>25</v>
      </c>
      <c r="E23" s="19" t="s">
        <v>21</v>
      </c>
    </row>
    <row r="24" spans="1:5" ht="24" customHeight="1" x14ac:dyDescent="0.25">
      <c r="A24" s="9" t="s">
        <v>32</v>
      </c>
      <c r="B24" s="10">
        <v>4</v>
      </c>
      <c r="C24" s="11">
        <v>1</v>
      </c>
      <c r="D24" s="10">
        <f t="shared" si="0"/>
        <v>5</v>
      </c>
      <c r="E24" s="14" t="s">
        <v>13</v>
      </c>
    </row>
    <row r="25" spans="1:5" ht="3.75" customHeight="1" x14ac:dyDescent="0.25">
      <c r="A25" s="3"/>
      <c r="B25" s="3"/>
      <c r="C25" s="3"/>
      <c r="D25" s="3"/>
      <c r="E25" s="3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showGridLines="0" zoomScaleNormal="100" workbookViewId="0">
      <selection sqref="A1:F1"/>
    </sheetView>
  </sheetViews>
  <sheetFormatPr defaultColWidth="8.7109375" defaultRowHeight="15" x14ac:dyDescent="0.25"/>
  <cols>
    <col min="1" max="1" width="20" customWidth="1"/>
    <col min="2" max="2" width="10" customWidth="1"/>
    <col min="3" max="3" width="16" customWidth="1"/>
    <col min="4" max="4" width="12" customWidth="1"/>
    <col min="5" max="5" width="14" customWidth="1"/>
    <col min="6" max="6" width="12" customWidth="1"/>
  </cols>
  <sheetData>
    <row r="1" spans="1:6" ht="39.75" customHeight="1" x14ac:dyDescent="0.25">
      <c r="A1" s="2" t="s">
        <v>38</v>
      </c>
      <c r="B1" s="2"/>
      <c r="C1" s="2"/>
      <c r="D1" s="2"/>
      <c r="E1" s="2"/>
      <c r="F1" s="2"/>
    </row>
    <row r="2" spans="1:6" ht="4.5" customHeight="1" x14ac:dyDescent="0.25">
      <c r="A2" s="3"/>
      <c r="B2" s="3"/>
      <c r="C2" s="3"/>
      <c r="D2" s="3"/>
      <c r="E2" s="3"/>
      <c r="F2" s="3"/>
    </row>
    <row r="3" spans="1:6" ht="27.75" customHeight="1" x14ac:dyDescent="0.25">
      <c r="A3" s="4" t="s">
        <v>5</v>
      </c>
      <c r="B3" s="4" t="s">
        <v>33</v>
      </c>
      <c r="C3" s="4" t="s">
        <v>34</v>
      </c>
      <c r="D3" s="4" t="s">
        <v>3</v>
      </c>
      <c r="E3" s="4" t="s">
        <v>35</v>
      </c>
      <c r="F3" s="4" t="s">
        <v>36</v>
      </c>
    </row>
    <row r="4" spans="1:6" ht="24" customHeight="1" x14ac:dyDescent="0.25">
      <c r="A4" s="20" t="s">
        <v>21</v>
      </c>
      <c r="B4" s="21">
        <v>3</v>
      </c>
      <c r="C4" s="21">
        <v>34</v>
      </c>
      <c r="D4" s="21">
        <v>8</v>
      </c>
      <c r="E4" s="22">
        <f t="shared" ref="E4:E10" si="0">C4+D4</f>
        <v>42</v>
      </c>
      <c r="F4" s="23">
        <f>IF(SUM(E4:E10)=0,0,E4/SUM(E$4:E$10))</f>
        <v>0.25925925925925924</v>
      </c>
    </row>
    <row r="5" spans="1:6" ht="24" customHeight="1" x14ac:dyDescent="0.25">
      <c r="A5" s="24" t="s">
        <v>29</v>
      </c>
      <c r="B5" s="25">
        <v>2</v>
      </c>
      <c r="C5" s="25">
        <v>20</v>
      </c>
      <c r="D5" s="25">
        <v>2</v>
      </c>
      <c r="E5" s="26">
        <f t="shared" si="0"/>
        <v>22</v>
      </c>
      <c r="F5" s="27">
        <f>IF(SUM(E4:E10)=0,0,E5/SUM(E$4:E$10))</f>
        <v>0.13580246913580246</v>
      </c>
    </row>
    <row r="6" spans="1:6" ht="24" customHeight="1" x14ac:dyDescent="0.25">
      <c r="A6" s="28" t="s">
        <v>11</v>
      </c>
      <c r="B6" s="21">
        <v>3</v>
      </c>
      <c r="C6" s="21">
        <v>11</v>
      </c>
      <c r="D6" s="21">
        <v>1</v>
      </c>
      <c r="E6" s="22">
        <f t="shared" si="0"/>
        <v>12</v>
      </c>
      <c r="F6" s="23">
        <f>IF(SUM(E4:E10)=0,0,E6/SUM(E$4:E$10))</f>
        <v>7.407407407407407E-2</v>
      </c>
    </row>
    <row r="7" spans="1:6" ht="24" customHeight="1" x14ac:dyDescent="0.25">
      <c r="A7" s="29" t="s">
        <v>13</v>
      </c>
      <c r="B7" s="25">
        <v>4</v>
      </c>
      <c r="C7" s="25">
        <v>18</v>
      </c>
      <c r="D7" s="25">
        <v>4</v>
      </c>
      <c r="E7" s="26">
        <f t="shared" si="0"/>
        <v>22</v>
      </c>
      <c r="F7" s="27">
        <f>IF(SUM(E4:E10)=0,0,E7/SUM(E$4:E$10))</f>
        <v>0.13580246913580246</v>
      </c>
    </row>
    <row r="8" spans="1:6" ht="24" customHeight="1" x14ac:dyDescent="0.25">
      <c r="A8" s="30" t="s">
        <v>9</v>
      </c>
      <c r="B8" s="21">
        <v>3</v>
      </c>
      <c r="C8" s="21">
        <v>18</v>
      </c>
      <c r="D8" s="21">
        <v>1</v>
      </c>
      <c r="E8" s="22">
        <f t="shared" si="0"/>
        <v>19</v>
      </c>
      <c r="F8" s="23">
        <f>IF(SUM(E4:E10)=0,0,E8/SUM(E$4:E$10))</f>
        <v>0.11728395061728394</v>
      </c>
    </row>
    <row r="9" spans="1:6" ht="24" customHeight="1" x14ac:dyDescent="0.25">
      <c r="A9" s="31" t="s">
        <v>7</v>
      </c>
      <c r="B9" s="25">
        <v>3</v>
      </c>
      <c r="C9" s="25">
        <v>42</v>
      </c>
      <c r="D9" s="25">
        <v>0</v>
      </c>
      <c r="E9" s="26">
        <f t="shared" si="0"/>
        <v>42</v>
      </c>
      <c r="F9" s="27">
        <f>IF(SUM(E4:E10)=0,0,E9/SUM(E$4:E$10))</f>
        <v>0.25925925925925924</v>
      </c>
    </row>
    <row r="10" spans="1:6" ht="24" customHeight="1" x14ac:dyDescent="0.25">
      <c r="A10" s="32" t="s">
        <v>18</v>
      </c>
      <c r="B10" s="21">
        <v>1</v>
      </c>
      <c r="C10" s="21">
        <v>3</v>
      </c>
      <c r="D10" s="21">
        <v>0</v>
      </c>
      <c r="E10" s="22">
        <f t="shared" si="0"/>
        <v>3</v>
      </c>
      <c r="F10" s="23">
        <f>IF(SUM(E4:E10)=0,0,E10/SUM(E$4:E$10))</f>
        <v>1.8518518518518517E-2</v>
      </c>
    </row>
    <row r="12" spans="1:6" ht="3.75" customHeight="1" x14ac:dyDescent="0.25">
      <c r="A12" s="3"/>
      <c r="B12" s="3"/>
      <c r="C12" s="3"/>
      <c r="D12" s="3"/>
      <c r="E12" s="3"/>
      <c r="F12" s="3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Inventário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Yuri Sousa</cp:lastModifiedBy>
  <cp:revision>0</cp:revision>
  <dcterms:created xsi:type="dcterms:W3CDTF">2026-05-16T21:13:01Z</dcterms:created>
  <dcterms:modified xsi:type="dcterms:W3CDTF">2026-05-16T21:18:22Z</dcterms:modified>
  <dc:language>en-US</dc:language>
</cp:coreProperties>
</file>